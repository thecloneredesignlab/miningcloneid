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4470246/Projects/PMO/HighPloidy_DoubleEdgedSword/data/BreastCancerCLs/SUM159/M00_GemcitabinePKPD_101823/"/>
    </mc:Choice>
  </mc:AlternateContent>
  <xr:revisionPtr revIDLastSave="0" documentId="13_ncr:1_{2143F4FB-F1D7-D54C-86F7-48472C30F09B}" xr6:coauthVersionLast="47" xr6:coauthVersionMax="47" xr10:uidLastSave="{00000000-0000-0000-0000-000000000000}"/>
  <bookViews>
    <workbookView xWindow="-4640" yWindow="-21580" windowWidth="34560" windowHeight="21580" activeTab="2" xr2:uid="{A71A04F0-3B8F-1240-B5E0-EB06E558EEB0}"/>
  </bookViews>
  <sheets>
    <sheet name="4N" sheetId="1" r:id="rId1"/>
    <sheet name="2N" sheetId="2" r:id="rId2"/>
    <sheet name="2N_lowInitialGemcitabine" sheetId="3" r:id="rId3"/>
    <sheet name="4N_lowInitialGemcitabin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" i="3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" i="4"/>
  <c r="N10" i="4"/>
  <c r="N13" i="4" s="1"/>
  <c r="N16" i="4" s="1"/>
  <c r="N19" i="4" s="1"/>
  <c r="N7" i="4"/>
  <c r="N6" i="4"/>
  <c r="N9" i="4" s="1"/>
  <c r="N12" i="4" s="1"/>
  <c r="N15" i="4" s="1"/>
  <c r="N18" i="4" s="1"/>
  <c r="N5" i="4"/>
  <c r="N8" i="4" s="1"/>
  <c r="N11" i="4" s="1"/>
  <c r="N14" i="4" s="1"/>
  <c r="N17" i="4" s="1"/>
  <c r="N6" i="3"/>
  <c r="N7" i="3"/>
  <c r="N8" i="3"/>
  <c r="N11" i="3" s="1"/>
  <c r="N14" i="3" s="1"/>
  <c r="N17" i="3" s="1"/>
  <c r="N9" i="3"/>
  <c r="N12" i="3" s="1"/>
  <c r="N15" i="3" s="1"/>
  <c r="N18" i="3" s="1"/>
  <c r="N10" i="3"/>
  <c r="N13" i="3" s="1"/>
  <c r="N16" i="3" s="1"/>
  <c r="N19" i="3" s="1"/>
  <c r="N5" i="3"/>
</calcChain>
</file>

<file path=xl/sharedStrings.xml><?xml version="1.0" encoding="utf-8"?>
<sst xmlns="http://schemas.openxmlformats.org/spreadsheetml/2006/main" count="157" uniqueCount="46">
  <si>
    <t>4N-0h-1</t>
  </si>
  <si>
    <t>N/F</t>
  </si>
  <si>
    <t>4N-0h-2</t>
  </si>
  <si>
    <t>4N-0h-3</t>
  </si>
  <si>
    <t>4N-1h-1</t>
  </si>
  <si>
    <t>4N-1h-2</t>
  </si>
  <si>
    <t>4N-1h-3</t>
  </si>
  <si>
    <t>4N-2h-1</t>
  </si>
  <si>
    <t>4N-2h-2</t>
  </si>
  <si>
    <t>4N-2h-3</t>
  </si>
  <si>
    <t>4N-24h-1</t>
  </si>
  <si>
    <t>4N-24h-2</t>
  </si>
  <si>
    <t>4N-24h-3</t>
  </si>
  <si>
    <t>4N-48h-1</t>
  </si>
  <si>
    <t>BQL</t>
  </si>
  <si>
    <t>4N-48h-2</t>
  </si>
  <si>
    <t>4N-48h-3</t>
  </si>
  <si>
    <t>BDL</t>
  </si>
  <si>
    <t>Sample</t>
  </si>
  <si>
    <t>Gemcitabine (ng/mL)</t>
  </si>
  <si>
    <t>dFdU  (ng/mL)</t>
  </si>
  <si>
    <t>dFdCTP  (ng/mL)</t>
  </si>
  <si>
    <t>dFdCDP  (ng/mL)</t>
  </si>
  <si>
    <t>dFdCMP  (ng/mL)</t>
  </si>
  <si>
    <t>2N-0h-1</t>
  </si>
  <si>
    <t>2N-0h-2</t>
  </si>
  <si>
    <t>2N-0h-3</t>
  </si>
  <si>
    <t>2N-1h-1</t>
  </si>
  <si>
    <t>2N-1h-2</t>
  </si>
  <si>
    <t>2N-1h-3</t>
  </si>
  <si>
    <t>2N-2h-1</t>
  </si>
  <si>
    <t>2N-2h-2</t>
  </si>
  <si>
    <t>2N-2h-3</t>
  </si>
  <si>
    <t>2N-24h-1</t>
  </si>
  <si>
    <t>2N-24h-2</t>
  </si>
  <si>
    <t>2N-24h-3</t>
  </si>
  <si>
    <t>2N-48h-1</t>
  </si>
  <si>
    <t>2N-48h-2</t>
  </si>
  <si>
    <t>2N-48h-3</t>
  </si>
  <si>
    <r>
      <rPr>
        <sz val="22"/>
        <color rgb="FF36383A"/>
        <rFont val="Courier New"/>
        <family val="3"/>
      </rPr>
      <t>BDL</t>
    </r>
  </si>
  <si>
    <r>
      <rPr>
        <sz val="19"/>
        <color rgb="FF36383A"/>
        <rFont val="Arial"/>
        <family val="2"/>
      </rPr>
      <t>N/F</t>
    </r>
  </si>
  <si>
    <r>
      <rPr>
        <sz val="22"/>
        <color rgb="FF36383A"/>
        <rFont val="Courier New"/>
        <family val="3"/>
      </rPr>
      <t>BQL</t>
    </r>
  </si>
  <si>
    <r>
      <rPr>
        <sz val="22"/>
        <color rgb="FF3B3B3D"/>
        <rFont val="Courier New"/>
        <family val="3"/>
      </rPr>
      <t>BDL</t>
    </r>
  </si>
  <si>
    <r>
      <rPr>
        <sz val="18"/>
        <color rgb="FF3B3B3D"/>
        <rFont val="Arial"/>
        <family val="2"/>
      </rPr>
      <t>N/F</t>
    </r>
  </si>
  <si>
    <t>Timepoint</t>
  </si>
  <si>
    <t>replicate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</si>
</sst>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;###0"/>
    <numFmt numFmtId="165" formatCode="###0.0;###0.0"/>
    <numFmt numFmtId="166" formatCode="###0.00;###0.00"/>
  </numFmts>
  <fonts count="14" x14ac:knownFonts="1">
    <font>
      <sz val="12"/>
      <color theme="1"/>
      <name val="Aptos Narrow"/>
      <family val="2"/>
      <scheme val="minor"/>
    </font>
    <font>
      <sz val="18"/>
      <name val="Arial"/>
      <family val="2"/>
    </font>
    <font>
      <b/>
      <sz val="10"/>
      <color rgb="FFFF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21"/>
      <color rgb="FF36383A"/>
      <name val="Courier New"/>
      <family val="2"/>
    </font>
    <font>
      <sz val="22"/>
      <name val="Courier New"/>
      <family val="1"/>
    </font>
    <font>
      <sz val="22"/>
      <color rgb="FF36383A"/>
      <name val="Courier New"/>
      <family val="3"/>
    </font>
    <font>
      <sz val="19"/>
      <name val="Arial"/>
      <family val="2"/>
    </font>
    <font>
      <sz val="19"/>
      <color rgb="FF36383A"/>
      <name val="Arial"/>
      <family val="2"/>
    </font>
    <font>
      <sz val="21"/>
      <color rgb="FF3B3B3D"/>
      <name val="Courier New"/>
      <family val="2"/>
    </font>
    <font>
      <sz val="22"/>
      <color rgb="FF3B3B3D"/>
      <name val="Courier New"/>
      <family val="3"/>
    </font>
    <font>
      <sz val="18"/>
      <color rgb="FF3B3B3D"/>
      <name val="Arial"/>
      <family val="2"/>
    </font>
    <font>
      <sz val="21"/>
      <color rgb="FF2A2B2B"/>
      <name val="Courier New"/>
      <family val="2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5B9BD5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9BC2E6"/>
      </top>
      <bottom style="thin">
        <color rgb="FF9BC2E6"/>
      </bottom>
      <diagonal/>
    </border>
    <border>
      <left style="thin">
        <color rgb="FF000000"/>
      </left>
      <right style="thin">
        <color rgb="FF000000"/>
      </right>
      <top style="thin">
        <color rgb="FF9BC2E6"/>
      </top>
      <bottom style="thin">
        <color rgb="FF9BC2E6"/>
      </bottom>
      <diagonal/>
    </border>
    <border>
      <left style="thin">
        <color rgb="FF000000"/>
      </left>
      <right style="medium">
        <color rgb="FF000000"/>
      </right>
      <top style="thin">
        <color rgb="FF9BC2E6"/>
      </top>
      <bottom style="thin">
        <color rgb="FF9BC2E6"/>
      </bottom>
      <diagonal/>
    </border>
    <border>
      <left style="medium">
        <color rgb="FF000000"/>
      </left>
      <right style="thin">
        <color rgb="FF000000"/>
      </right>
      <top style="thin">
        <color rgb="FF9BC2E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9BC2E6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9BC2E6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9BC2E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9BC2E6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9BC2E6"/>
      </bottom>
      <diagonal/>
    </border>
    <border>
      <left/>
      <right/>
      <top/>
      <bottom style="thin">
        <color rgb="FFA3C3E4"/>
      </bottom>
      <diagonal/>
    </border>
    <border>
      <left/>
      <right/>
      <top style="thin">
        <color rgb="FFA3C3E4"/>
      </top>
      <bottom/>
      <diagonal/>
    </border>
    <border>
      <left/>
      <right/>
      <top/>
      <bottom style="thin">
        <color rgb="FF343838"/>
      </bottom>
      <diagonal/>
    </border>
    <border>
      <left/>
      <right style="thin">
        <color rgb="FFB3CFE8"/>
      </right>
      <top/>
      <bottom/>
      <diagonal/>
    </border>
    <border>
      <left/>
      <right style="thin">
        <color rgb="FFAFCCE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2" borderId="1" xfId="0" applyFont="1" applyFill="1" applyBorder="1" applyAlignment="1">
      <alignment horizontal="center" wrapText="1" readingOrder="1"/>
    </xf>
    <xf numFmtId="0" fontId="2" fillId="2" borderId="2" xfId="0" applyFont="1" applyFill="1" applyBorder="1" applyAlignment="1">
      <alignment horizontal="center" wrapText="1" readingOrder="1"/>
    </xf>
    <xf numFmtId="0" fontId="2" fillId="2" borderId="3" xfId="0" applyFont="1" applyFill="1" applyBorder="1" applyAlignment="1">
      <alignment horizontal="center" wrapText="1" readingOrder="1"/>
    </xf>
    <xf numFmtId="0" fontId="2" fillId="0" borderId="1" xfId="0" applyFont="1" applyBorder="1" applyAlignment="1">
      <alignment horizontal="center" wrapText="1" readingOrder="1"/>
    </xf>
    <xf numFmtId="0" fontId="2" fillId="0" borderId="2" xfId="0" applyFont="1" applyBorder="1" applyAlignment="1">
      <alignment horizontal="center" wrapText="1" readingOrder="1"/>
    </xf>
    <xf numFmtId="0" fontId="2" fillId="0" borderId="3" xfId="0" applyFont="1" applyBorder="1" applyAlignment="1">
      <alignment horizontal="center" wrapText="1" readingOrder="1"/>
    </xf>
    <xf numFmtId="0" fontId="2" fillId="2" borderId="4" xfId="0" applyFont="1" applyFill="1" applyBorder="1" applyAlignment="1">
      <alignment horizontal="center" wrapText="1" readingOrder="1"/>
    </xf>
    <xf numFmtId="0" fontId="2" fillId="2" borderId="5" xfId="0" applyFont="1" applyFill="1" applyBorder="1" applyAlignment="1">
      <alignment horizontal="center" wrapText="1" readingOrder="1"/>
    </xf>
    <xf numFmtId="0" fontId="2" fillId="2" borderId="6" xfId="0" applyFont="1" applyFill="1" applyBorder="1" applyAlignment="1">
      <alignment horizontal="center" wrapText="1" readingOrder="1"/>
    </xf>
    <xf numFmtId="0" fontId="3" fillId="3" borderId="7" xfId="0" applyFont="1" applyFill="1" applyBorder="1" applyAlignment="1">
      <alignment horizontal="center" wrapText="1" readingOrder="1"/>
    </xf>
    <xf numFmtId="0" fontId="3" fillId="3" borderId="8" xfId="0" applyFont="1" applyFill="1" applyBorder="1" applyAlignment="1">
      <alignment horizontal="center" wrapText="1" readingOrder="1"/>
    </xf>
    <xf numFmtId="0" fontId="3" fillId="3" borderId="9" xfId="0" applyFont="1" applyFill="1" applyBorder="1" applyAlignment="1">
      <alignment horizontal="center" wrapText="1" readingOrder="1"/>
    </xf>
    <xf numFmtId="0" fontId="4" fillId="2" borderId="10" xfId="0" applyFont="1" applyFill="1" applyBorder="1" applyAlignment="1">
      <alignment horizontal="center" wrapText="1" readingOrder="1"/>
    </xf>
    <xf numFmtId="0" fontId="4" fillId="2" borderId="11" xfId="0" applyFont="1" applyFill="1" applyBorder="1" applyAlignment="1">
      <alignment horizontal="center" wrapText="1" readingOrder="1"/>
    </xf>
    <xf numFmtId="0" fontId="4" fillId="2" borderId="12" xfId="0" applyFont="1" applyFill="1" applyBorder="1" applyAlignment="1">
      <alignment horizontal="center" wrapText="1" readingOrder="1"/>
    </xf>
    <xf numFmtId="0" fontId="4" fillId="2" borderId="1" xfId="0" applyFont="1" applyFill="1" applyBorder="1" applyAlignment="1">
      <alignment horizontal="center" wrapText="1" readingOrder="1"/>
    </xf>
    <xf numFmtId="0" fontId="4" fillId="2" borderId="2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 readingOrder="1"/>
    </xf>
    <xf numFmtId="0" fontId="4" fillId="0" borderId="1" xfId="0" applyFont="1" applyBorder="1" applyAlignment="1">
      <alignment horizontal="center" wrapText="1" readingOrder="1"/>
    </xf>
    <xf numFmtId="0" fontId="4" fillId="0" borderId="2" xfId="0" applyFont="1" applyBorder="1" applyAlignment="1">
      <alignment horizontal="center" wrapText="1" readingOrder="1"/>
    </xf>
    <xf numFmtId="0" fontId="4" fillId="0" borderId="3" xfId="0" applyFont="1" applyBorder="1" applyAlignment="1">
      <alignment horizontal="center" wrapText="1" readingOrder="1"/>
    </xf>
    <xf numFmtId="0" fontId="4" fillId="2" borderId="4" xfId="0" applyFont="1" applyFill="1" applyBorder="1" applyAlignment="1">
      <alignment horizontal="center" wrapText="1" readingOrder="1"/>
    </xf>
    <xf numFmtId="0" fontId="4" fillId="2" borderId="5" xfId="0" applyFont="1" applyFill="1" applyBorder="1" applyAlignment="1">
      <alignment horizontal="center" wrapText="1" readingOrder="1"/>
    </xf>
    <xf numFmtId="0" fontId="4" fillId="2" borderId="6" xfId="0" applyFont="1" applyFill="1" applyBorder="1" applyAlignment="1">
      <alignment horizontal="center" wrapText="1" readingOrder="1"/>
    </xf>
    <xf numFmtId="164" fontId="5" fillId="0" borderId="0" xfId="0" applyNumberFormat="1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65" fontId="5" fillId="0" borderId="0" xfId="0" applyNumberFormat="1" applyFont="1" applyAlignment="1">
      <alignment horizontal="left" vertical="top" wrapText="1"/>
    </xf>
    <xf numFmtId="166" fontId="5" fillId="0" borderId="0" xfId="0" applyNumberFormat="1" applyFont="1" applyAlignment="1">
      <alignment horizontal="left" vertical="top" wrapText="1"/>
    </xf>
    <xf numFmtId="165" fontId="5" fillId="0" borderId="13" xfId="0" applyNumberFormat="1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165" fontId="5" fillId="0" borderId="14" xfId="0" applyNumberFormat="1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164" fontId="5" fillId="0" borderId="0" xfId="0" applyNumberFormat="1" applyFont="1" applyAlignment="1">
      <alignment horizontal="left" vertical="top" wrapText="1"/>
    </xf>
    <xf numFmtId="164" fontId="5" fillId="0" borderId="15" xfId="0" applyNumberFormat="1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165" fontId="5" fillId="0" borderId="15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65" fontId="10" fillId="0" borderId="0" xfId="0" applyNumberFormat="1" applyFont="1" applyAlignment="1">
      <alignment horizontal="center" vertical="top" wrapText="1"/>
    </xf>
    <xf numFmtId="165" fontId="10" fillId="0" borderId="13" xfId="0" applyNumberFormat="1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165" fontId="10" fillId="0" borderId="14" xfId="0" applyNumberFormat="1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3" fillId="3" borderId="8" xfId="0" applyFont="1" applyFill="1" applyBorder="1" applyAlignment="1">
      <alignment readingOrder="1"/>
    </xf>
    <xf numFmtId="164" fontId="5" fillId="0" borderId="0" xfId="0" applyNumberFormat="1" applyFont="1" applyAlignment="1">
      <alignment horizontal="center" vertical="top" wrapText="1"/>
    </xf>
    <xf numFmtId="165" fontId="5" fillId="0" borderId="15" xfId="0" applyNumberFormat="1" applyFont="1" applyBorder="1" applyAlignment="1">
      <alignment horizontal="left" vertical="top" wrapText="1"/>
    </xf>
    <xf numFmtId="165" fontId="5" fillId="0" borderId="0" xfId="0" applyNumberFormat="1" applyFont="1" applyAlignment="1">
      <alignment horizontal="left" vertical="top" wrapText="1"/>
    </xf>
    <xf numFmtId="165" fontId="5" fillId="0" borderId="14" xfId="0" applyNumberFormat="1" applyFont="1" applyBorder="1" applyAlignment="1">
      <alignment horizontal="left" vertical="top" wrapText="1"/>
    </xf>
    <xf numFmtId="165" fontId="5" fillId="0" borderId="13" xfId="0" applyNumberFormat="1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center" wrapText="1" readingOrder="1"/>
    </xf>
    <xf numFmtId="0" fontId="3" fillId="3" borderId="8" xfId="0" applyFont="1" applyFill="1" applyBorder="1" applyAlignment="1">
      <alignment horizontal="center" readingOrder="1"/>
    </xf>
    <xf numFmtId="0" fontId="3" fillId="3" borderId="9" xfId="0" applyFont="1" applyFill="1" applyBorder="1" applyAlignment="1">
      <alignment horizontal="center" readingOrder="1"/>
    </xf>
    <xf numFmtId="164" fontId="10" fillId="0" borderId="0" xfId="0" applyNumberFormat="1" applyFont="1" applyAlignment="1">
      <alignment horizontal="left" vertical="top" wrapText="1"/>
    </xf>
    <xf numFmtId="165" fontId="10" fillId="0" borderId="0" xfId="0" applyNumberFormat="1" applyFont="1" applyAlignment="1">
      <alignment horizontal="center" vertical="top" wrapText="1"/>
    </xf>
    <xf numFmtId="165" fontId="13" fillId="0" borderId="0" xfId="0" applyNumberFormat="1" applyFont="1" applyAlignment="1">
      <alignment horizontal="left" vertical="top" wrapText="1"/>
    </xf>
    <xf numFmtId="165" fontId="13" fillId="0" borderId="17" xfId="0" applyNumberFormat="1" applyFont="1" applyBorder="1" applyAlignment="1">
      <alignment horizontal="left" vertical="top" wrapText="1"/>
    </xf>
    <xf numFmtId="165" fontId="10" fillId="0" borderId="16" xfId="0" applyNumberFormat="1" applyFont="1" applyBorder="1" applyAlignment="1">
      <alignment horizontal="center" vertical="top" wrapText="1"/>
    </xf>
    <xf numFmtId="165" fontId="10" fillId="0" borderId="14" xfId="0" applyNumberFormat="1" applyFont="1" applyBorder="1" applyAlignment="1">
      <alignment horizontal="center" vertical="top" wrapText="1"/>
    </xf>
    <xf numFmtId="165" fontId="10" fillId="0" borderId="13" xfId="0" applyNumberFormat="1" applyFont="1" applyBorder="1" applyAlignment="1">
      <alignment horizontal="center" vertical="top" wrapText="1"/>
    </xf>
    <xf numFmtId="0" fontId="3" fillId="3" borderId="8" xfId="0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83F37-2980-D942-8289-A16F177A8732}">
  <dimension ref="A1:F16"/>
  <sheetViews>
    <sheetView workbookViewId="0">
      <selection sqref="A1:F1"/>
    </sheetView>
  </sheetViews>
  <sheetFormatPr baseColWidth="10" defaultRowHeight="16" x14ac:dyDescent="0.2"/>
  <sheetData>
    <row r="1" spans="1:6" ht="52" thickBot="1" x14ac:dyDescent="0.25">
      <c r="A1" s="10" t="s">
        <v>18</v>
      </c>
      <c r="B1" s="11" t="s">
        <v>19</v>
      </c>
      <c r="C1" s="11" t="s">
        <v>20</v>
      </c>
      <c r="D1" s="12" t="s">
        <v>21</v>
      </c>
      <c r="E1" s="10" t="s">
        <v>22</v>
      </c>
      <c r="F1" s="12" t="s">
        <v>23</v>
      </c>
    </row>
    <row r="2" spans="1:6" x14ac:dyDescent="0.2">
      <c r="A2" s="1" t="s">
        <v>0</v>
      </c>
      <c r="B2" s="2" t="s">
        <v>1</v>
      </c>
      <c r="C2" s="2" t="s">
        <v>1</v>
      </c>
      <c r="D2" s="2">
        <v>4.28</v>
      </c>
      <c r="E2" s="2" t="s">
        <v>1</v>
      </c>
      <c r="F2" s="3" t="s">
        <v>1</v>
      </c>
    </row>
    <row r="3" spans="1:6" x14ac:dyDescent="0.2">
      <c r="A3" s="1" t="s">
        <v>2</v>
      </c>
      <c r="B3" s="2" t="s">
        <v>1</v>
      </c>
      <c r="C3" s="2" t="s">
        <v>1</v>
      </c>
      <c r="D3" s="2">
        <v>5.26</v>
      </c>
      <c r="E3" s="2" t="s">
        <v>1</v>
      </c>
      <c r="F3" s="3" t="s">
        <v>1</v>
      </c>
    </row>
    <row r="4" spans="1:6" x14ac:dyDescent="0.2">
      <c r="A4" s="1" t="s">
        <v>3</v>
      </c>
      <c r="B4" s="2" t="s">
        <v>1</v>
      </c>
      <c r="C4" s="2" t="s">
        <v>1</v>
      </c>
      <c r="D4" s="2">
        <v>4.83</v>
      </c>
      <c r="E4" s="2" t="s">
        <v>1</v>
      </c>
      <c r="F4" s="3" t="s">
        <v>1</v>
      </c>
    </row>
    <row r="5" spans="1:6" x14ac:dyDescent="0.2">
      <c r="A5" s="4" t="s">
        <v>4</v>
      </c>
      <c r="B5" s="5">
        <v>5.17</v>
      </c>
      <c r="C5" s="5">
        <v>1.6</v>
      </c>
      <c r="D5" s="5">
        <v>16.36</v>
      </c>
      <c r="E5" s="5" t="s">
        <v>1</v>
      </c>
      <c r="F5" s="6">
        <v>3.43</v>
      </c>
    </row>
    <row r="6" spans="1:6" x14ac:dyDescent="0.2">
      <c r="A6" s="4" t="s">
        <v>5</v>
      </c>
      <c r="B6" s="5">
        <v>5.38</v>
      </c>
      <c r="C6" s="5">
        <v>1.84</v>
      </c>
      <c r="D6" s="5">
        <v>21.13</v>
      </c>
      <c r="E6" s="5" t="s">
        <v>1</v>
      </c>
      <c r="F6" s="6">
        <v>5.2</v>
      </c>
    </row>
    <row r="7" spans="1:6" x14ac:dyDescent="0.2">
      <c r="A7" s="4" t="s">
        <v>6</v>
      </c>
      <c r="B7" s="5">
        <v>6.33</v>
      </c>
      <c r="C7" s="5">
        <v>2.0099999999999998</v>
      </c>
      <c r="D7" s="5">
        <v>21.3</v>
      </c>
      <c r="E7" s="5" t="s">
        <v>1</v>
      </c>
      <c r="F7" s="6">
        <v>4.68</v>
      </c>
    </row>
    <row r="8" spans="1:6" x14ac:dyDescent="0.2">
      <c r="A8" s="1" t="s">
        <v>7</v>
      </c>
      <c r="B8" s="2">
        <v>10.34</v>
      </c>
      <c r="C8" s="2">
        <v>2.29</v>
      </c>
      <c r="D8" s="2">
        <v>39.47</v>
      </c>
      <c r="E8" s="2" t="s">
        <v>1</v>
      </c>
      <c r="F8" s="3">
        <v>7.66</v>
      </c>
    </row>
    <row r="9" spans="1:6" x14ac:dyDescent="0.2">
      <c r="A9" s="1" t="s">
        <v>8</v>
      </c>
      <c r="B9" s="2">
        <v>8.4499999999999993</v>
      </c>
      <c r="C9" s="2">
        <v>2.67</v>
      </c>
      <c r="D9" s="2">
        <v>55.1</v>
      </c>
      <c r="E9" s="2" t="s">
        <v>1</v>
      </c>
      <c r="F9" s="3">
        <v>8.1</v>
      </c>
    </row>
    <row r="10" spans="1:6" x14ac:dyDescent="0.2">
      <c r="A10" s="1" t="s">
        <v>9</v>
      </c>
      <c r="B10" s="2">
        <v>11.38</v>
      </c>
      <c r="C10" s="2">
        <v>2.61</v>
      </c>
      <c r="D10" s="2">
        <v>40.98</v>
      </c>
      <c r="E10" s="2" t="s">
        <v>1</v>
      </c>
      <c r="F10" s="3">
        <v>10.34</v>
      </c>
    </row>
    <row r="11" spans="1:6" x14ac:dyDescent="0.2">
      <c r="A11" s="4" t="s">
        <v>10</v>
      </c>
      <c r="B11" s="5">
        <v>7.92</v>
      </c>
      <c r="C11" s="5">
        <v>2.4500000000000002</v>
      </c>
      <c r="D11" s="5">
        <v>27.05</v>
      </c>
      <c r="E11" s="5" t="s">
        <v>1</v>
      </c>
      <c r="F11" s="6">
        <v>2.98</v>
      </c>
    </row>
    <row r="12" spans="1:6" x14ac:dyDescent="0.2">
      <c r="A12" s="4" t="s">
        <v>11</v>
      </c>
      <c r="B12" s="5">
        <v>9.0399999999999991</v>
      </c>
      <c r="C12" s="5">
        <v>3.53</v>
      </c>
      <c r="D12" s="5">
        <v>25.67</v>
      </c>
      <c r="E12" s="5" t="s">
        <v>1</v>
      </c>
      <c r="F12" s="6" t="s">
        <v>1</v>
      </c>
    </row>
    <row r="13" spans="1:6" x14ac:dyDescent="0.2">
      <c r="A13" s="4" t="s">
        <v>12</v>
      </c>
      <c r="B13" s="5">
        <v>4.2</v>
      </c>
      <c r="C13" s="5">
        <v>5.59</v>
      </c>
      <c r="D13" s="5">
        <v>27.92</v>
      </c>
      <c r="E13" s="5" t="s">
        <v>1</v>
      </c>
      <c r="F13" s="6" t="s">
        <v>1</v>
      </c>
    </row>
    <row r="14" spans="1:6" x14ac:dyDescent="0.2">
      <c r="A14" s="1" t="s">
        <v>13</v>
      </c>
      <c r="B14" s="2" t="s">
        <v>14</v>
      </c>
      <c r="C14" s="2">
        <v>2.21</v>
      </c>
      <c r="D14" s="2">
        <v>8.5399999999999991</v>
      </c>
      <c r="E14" s="2">
        <v>30.23</v>
      </c>
      <c r="F14" s="3" t="s">
        <v>1</v>
      </c>
    </row>
    <row r="15" spans="1:6" x14ac:dyDescent="0.2">
      <c r="A15" s="1" t="s">
        <v>15</v>
      </c>
      <c r="B15" s="2" t="s">
        <v>14</v>
      </c>
      <c r="C15" s="2">
        <v>2.67</v>
      </c>
      <c r="D15" s="2">
        <v>11.97</v>
      </c>
      <c r="E15" s="2">
        <v>32.04</v>
      </c>
      <c r="F15" s="3" t="s">
        <v>1</v>
      </c>
    </row>
    <row r="16" spans="1:6" ht="17" thickBot="1" x14ac:dyDescent="0.25">
      <c r="A16" s="7" t="s">
        <v>16</v>
      </c>
      <c r="B16" s="8" t="s">
        <v>17</v>
      </c>
      <c r="C16" s="8">
        <v>2.39</v>
      </c>
      <c r="D16" s="8">
        <v>9.32</v>
      </c>
      <c r="E16" s="8">
        <v>31.56</v>
      </c>
      <c r="F16" s="9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8C9EC-046D-EE47-BFD7-F0119E7B94F3}">
  <dimension ref="A1:F16"/>
  <sheetViews>
    <sheetView workbookViewId="0">
      <selection sqref="A1:F1"/>
    </sheetView>
  </sheetViews>
  <sheetFormatPr baseColWidth="10" defaultRowHeight="16" x14ac:dyDescent="0.2"/>
  <sheetData>
    <row r="1" spans="1:6" ht="52" thickBot="1" x14ac:dyDescent="0.25">
      <c r="A1" s="10" t="s">
        <v>18</v>
      </c>
      <c r="B1" s="11" t="s">
        <v>19</v>
      </c>
      <c r="C1" s="11" t="s">
        <v>20</v>
      </c>
      <c r="D1" s="12" t="s">
        <v>21</v>
      </c>
      <c r="E1" s="10" t="s">
        <v>22</v>
      </c>
      <c r="F1" s="12" t="s">
        <v>23</v>
      </c>
    </row>
    <row r="2" spans="1:6" x14ac:dyDescent="0.2">
      <c r="A2" s="13" t="s">
        <v>24</v>
      </c>
      <c r="B2" s="14" t="s">
        <v>1</v>
      </c>
      <c r="C2" s="14" t="s">
        <v>1</v>
      </c>
      <c r="D2" s="14">
        <v>4.9800000000000004</v>
      </c>
      <c r="E2" s="14" t="s">
        <v>1</v>
      </c>
      <c r="F2" s="15" t="s">
        <v>1</v>
      </c>
    </row>
    <row r="3" spans="1:6" x14ac:dyDescent="0.2">
      <c r="A3" s="16" t="s">
        <v>25</v>
      </c>
      <c r="B3" s="17" t="s">
        <v>1</v>
      </c>
      <c r="C3" s="17" t="s">
        <v>1</v>
      </c>
      <c r="D3" s="17">
        <v>5.2</v>
      </c>
      <c r="E3" s="17" t="s">
        <v>1</v>
      </c>
      <c r="F3" s="18" t="s">
        <v>1</v>
      </c>
    </row>
    <row r="4" spans="1:6" x14ac:dyDescent="0.2">
      <c r="A4" s="16" t="s">
        <v>26</v>
      </c>
      <c r="B4" s="17" t="s">
        <v>1</v>
      </c>
      <c r="C4" s="17" t="s">
        <v>1</v>
      </c>
      <c r="D4" s="17">
        <v>4.6500000000000004</v>
      </c>
      <c r="E4" s="17" t="s">
        <v>1</v>
      </c>
      <c r="F4" s="18" t="s">
        <v>1</v>
      </c>
    </row>
    <row r="5" spans="1:6" x14ac:dyDescent="0.2">
      <c r="A5" s="19" t="s">
        <v>27</v>
      </c>
      <c r="B5" s="20" t="s">
        <v>14</v>
      </c>
      <c r="C5" s="20">
        <v>24.77</v>
      </c>
      <c r="D5" s="20">
        <v>17.2</v>
      </c>
      <c r="E5" s="20" t="s">
        <v>1</v>
      </c>
      <c r="F5" s="21" t="s">
        <v>14</v>
      </c>
    </row>
    <row r="6" spans="1:6" x14ac:dyDescent="0.2">
      <c r="A6" s="19" t="s">
        <v>28</v>
      </c>
      <c r="B6" s="20" t="s">
        <v>14</v>
      </c>
      <c r="C6" s="20">
        <v>21.93</v>
      </c>
      <c r="D6" s="20">
        <v>17.07</v>
      </c>
      <c r="E6" s="20" t="s">
        <v>1</v>
      </c>
      <c r="F6" s="21" t="s">
        <v>14</v>
      </c>
    </row>
    <row r="7" spans="1:6" x14ac:dyDescent="0.2">
      <c r="A7" s="19" t="s">
        <v>29</v>
      </c>
      <c r="B7" s="20" t="s">
        <v>14</v>
      </c>
      <c r="C7" s="20">
        <v>20.36</v>
      </c>
      <c r="D7" s="20">
        <v>17.18</v>
      </c>
      <c r="E7" s="20" t="s">
        <v>1</v>
      </c>
      <c r="F7" s="21" t="s">
        <v>14</v>
      </c>
    </row>
    <row r="8" spans="1:6" x14ac:dyDescent="0.2">
      <c r="A8" s="16" t="s">
        <v>30</v>
      </c>
      <c r="B8" s="17">
        <v>2.21</v>
      </c>
      <c r="C8" s="17">
        <v>27.13</v>
      </c>
      <c r="D8" s="17">
        <v>30.03</v>
      </c>
      <c r="E8" s="17" t="s">
        <v>1</v>
      </c>
      <c r="F8" s="18">
        <v>1.77</v>
      </c>
    </row>
    <row r="9" spans="1:6" x14ac:dyDescent="0.2">
      <c r="A9" s="16" t="s">
        <v>31</v>
      </c>
      <c r="B9" s="17">
        <v>3.24</v>
      </c>
      <c r="C9" s="17">
        <v>48.19</v>
      </c>
      <c r="D9" s="17">
        <v>26.51</v>
      </c>
      <c r="E9" s="17" t="s">
        <v>1</v>
      </c>
      <c r="F9" s="18">
        <v>1.64</v>
      </c>
    </row>
    <row r="10" spans="1:6" x14ac:dyDescent="0.2">
      <c r="A10" s="16" t="s">
        <v>32</v>
      </c>
      <c r="B10" s="17">
        <v>4.41</v>
      </c>
      <c r="C10" s="17">
        <v>52.41</v>
      </c>
      <c r="D10" s="17">
        <v>35.81</v>
      </c>
      <c r="E10" s="17" t="s">
        <v>1</v>
      </c>
      <c r="F10" s="18">
        <v>1.93</v>
      </c>
    </row>
    <row r="11" spans="1:6" x14ac:dyDescent="0.2">
      <c r="A11" s="19" t="s">
        <v>33</v>
      </c>
      <c r="B11" s="20">
        <v>2.16</v>
      </c>
      <c r="C11" s="20">
        <v>37.369999999999997</v>
      </c>
      <c r="D11" s="20">
        <v>26.03</v>
      </c>
      <c r="E11" s="20" t="s">
        <v>1</v>
      </c>
      <c r="F11" s="21">
        <v>3.1</v>
      </c>
    </row>
    <row r="12" spans="1:6" x14ac:dyDescent="0.2">
      <c r="A12" s="19" t="s">
        <v>34</v>
      </c>
      <c r="B12" s="20">
        <v>3.21</v>
      </c>
      <c r="C12" s="20">
        <v>3.16</v>
      </c>
      <c r="D12" s="20">
        <v>9.73</v>
      </c>
      <c r="E12" s="20" t="s">
        <v>1</v>
      </c>
      <c r="F12" s="21">
        <v>1.99</v>
      </c>
    </row>
    <row r="13" spans="1:6" x14ac:dyDescent="0.2">
      <c r="A13" s="19" t="s">
        <v>35</v>
      </c>
      <c r="B13" s="20">
        <v>1.89</v>
      </c>
      <c r="C13" s="20">
        <v>2.94</v>
      </c>
      <c r="D13" s="20">
        <v>6.84</v>
      </c>
      <c r="E13" s="20" t="s">
        <v>1</v>
      </c>
      <c r="F13" s="21" t="s">
        <v>14</v>
      </c>
    </row>
    <row r="14" spans="1:6" x14ac:dyDescent="0.2">
      <c r="A14" s="16" t="s">
        <v>36</v>
      </c>
      <c r="B14" s="17" t="s">
        <v>17</v>
      </c>
      <c r="C14" s="17">
        <v>1.7</v>
      </c>
      <c r="D14" s="17">
        <v>5.52</v>
      </c>
      <c r="E14" s="17">
        <v>28.19</v>
      </c>
      <c r="F14" s="18">
        <v>2.2400000000000002</v>
      </c>
    </row>
    <row r="15" spans="1:6" x14ac:dyDescent="0.2">
      <c r="A15" s="16" t="s">
        <v>37</v>
      </c>
      <c r="B15" s="17" t="s">
        <v>17</v>
      </c>
      <c r="C15" s="17" t="s">
        <v>14</v>
      </c>
      <c r="D15" s="17">
        <v>4.7699999999999996</v>
      </c>
      <c r="E15" s="17">
        <v>33.5</v>
      </c>
      <c r="F15" s="18">
        <v>2.2400000000000002</v>
      </c>
    </row>
    <row r="16" spans="1:6" ht="17" thickBot="1" x14ac:dyDescent="0.25">
      <c r="A16" s="22" t="s">
        <v>38</v>
      </c>
      <c r="B16" s="23" t="s">
        <v>14</v>
      </c>
      <c r="C16" s="23" t="s">
        <v>14</v>
      </c>
      <c r="D16" s="23">
        <v>9.52</v>
      </c>
      <c r="E16" s="23">
        <v>82.66</v>
      </c>
      <c r="F16" s="24">
        <v>2.9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AF336-0185-8844-BBE0-C740C73C5EC7}">
  <dimension ref="A1:N19"/>
  <sheetViews>
    <sheetView tabSelected="1" topLeftCell="H1" workbookViewId="0">
      <selection activeCell="A2" sqref="A2:H19"/>
    </sheetView>
  </sheetViews>
  <sheetFormatPr baseColWidth="10" defaultRowHeight="16" x14ac:dyDescent="0.2"/>
  <cols>
    <col min="1" max="1" width="0" hidden="1" customWidth="1"/>
    <col min="2" max="2" width="0.33203125" hidden="1" customWidth="1"/>
    <col min="3" max="3" width="10.83203125" hidden="1" customWidth="1"/>
    <col min="4" max="7" width="0.1640625" hidden="1" customWidth="1"/>
    <col min="8" max="8" width="23.6640625" customWidth="1"/>
    <col min="10" max="10" width="20.83203125" customWidth="1"/>
  </cols>
  <sheetData>
    <row r="1" spans="1:14" ht="16" customHeight="1" thickBot="1" x14ac:dyDescent="0.25">
      <c r="A1" s="51" t="s">
        <v>18</v>
      </c>
      <c r="B1" s="51"/>
      <c r="C1" s="51"/>
      <c r="D1" s="51"/>
      <c r="E1" s="51"/>
      <c r="F1" s="51"/>
      <c r="G1" s="51"/>
      <c r="H1" s="51"/>
      <c r="I1" s="11" t="s">
        <v>44</v>
      </c>
      <c r="J1" s="11" t="s">
        <v>19</v>
      </c>
      <c r="K1" s="52" t="s">
        <v>20</v>
      </c>
      <c r="L1" s="53"/>
      <c r="M1" s="10" t="s">
        <v>21</v>
      </c>
      <c r="N1" s="10" t="s">
        <v>45</v>
      </c>
    </row>
    <row r="2" spans="1:14" ht="31" x14ac:dyDescent="0.2">
      <c r="A2" s="45" t="str">
        <f>_xlfn.CONCAT("2N-",I2,"h-",N2)</f>
        <v>2N-0h-1</v>
      </c>
      <c r="B2" s="45"/>
      <c r="C2" s="45"/>
      <c r="D2" s="45"/>
      <c r="E2" s="45"/>
      <c r="F2" s="45"/>
      <c r="G2" s="45"/>
      <c r="H2" s="45"/>
      <c r="I2" s="25">
        <v>0</v>
      </c>
      <c r="J2" s="26" t="s">
        <v>39</v>
      </c>
      <c r="K2" s="50" t="s">
        <v>40</v>
      </c>
      <c r="L2" s="50"/>
      <c r="M2" s="27">
        <v>4.0999999999999996</v>
      </c>
      <c r="N2">
        <v>1</v>
      </c>
    </row>
    <row r="3" spans="1:14" ht="31" customHeight="1" x14ac:dyDescent="0.2">
      <c r="A3" s="45" t="str">
        <f t="shared" ref="A3:A19" si="0">_xlfn.CONCAT("2N-",I3,"h-",N3)</f>
        <v>2N-0h-2</v>
      </c>
      <c r="B3" s="45"/>
      <c r="C3" s="45"/>
      <c r="D3" s="45"/>
      <c r="E3" s="45"/>
      <c r="F3" s="45"/>
      <c r="G3" s="45"/>
      <c r="H3" s="45"/>
      <c r="I3" s="25">
        <v>0</v>
      </c>
      <c r="J3" s="26" t="s">
        <v>39</v>
      </c>
      <c r="K3" s="50" t="s">
        <v>40</v>
      </c>
      <c r="L3" s="50"/>
      <c r="M3" s="27">
        <v>4</v>
      </c>
      <c r="N3">
        <v>2</v>
      </c>
    </row>
    <row r="4" spans="1:14" ht="31" customHeight="1" x14ac:dyDescent="0.2">
      <c r="A4" s="45" t="str">
        <f t="shared" si="0"/>
        <v>2N-0h-3</v>
      </c>
      <c r="B4" s="45"/>
      <c r="C4" s="45"/>
      <c r="D4" s="45"/>
      <c r="E4" s="45"/>
      <c r="F4" s="45"/>
      <c r="G4" s="45"/>
      <c r="H4" s="45"/>
      <c r="I4" s="25">
        <v>0</v>
      </c>
      <c r="J4" s="26" t="s">
        <v>39</v>
      </c>
      <c r="K4" s="50" t="s">
        <v>40</v>
      </c>
      <c r="L4" s="50"/>
      <c r="M4" s="27">
        <v>3.9</v>
      </c>
      <c r="N4">
        <v>3</v>
      </c>
    </row>
    <row r="5" spans="1:14" ht="31" customHeight="1" x14ac:dyDescent="0.2">
      <c r="A5" s="45" t="str">
        <f t="shared" si="0"/>
        <v>2N-0.25h-1</v>
      </c>
      <c r="B5" s="45"/>
      <c r="C5" s="45"/>
      <c r="D5" s="45"/>
      <c r="E5" s="45"/>
      <c r="F5" s="45"/>
      <c r="G5" s="45"/>
      <c r="H5" s="45"/>
      <c r="I5" s="28">
        <v>0.25</v>
      </c>
      <c r="J5" s="26" t="s">
        <v>39</v>
      </c>
      <c r="K5" s="47">
        <v>2.1</v>
      </c>
      <c r="L5" s="47"/>
      <c r="M5" s="26" t="s">
        <v>41</v>
      </c>
      <c r="N5">
        <f>N2</f>
        <v>1</v>
      </c>
    </row>
    <row r="6" spans="1:14" ht="31" customHeight="1" x14ac:dyDescent="0.2">
      <c r="A6" s="45" t="str">
        <f t="shared" si="0"/>
        <v>2N-0.25h-2</v>
      </c>
      <c r="B6" s="45"/>
      <c r="C6" s="45"/>
      <c r="D6" s="45"/>
      <c r="E6" s="45"/>
      <c r="F6" s="45"/>
      <c r="G6" s="45"/>
      <c r="H6" s="45"/>
      <c r="I6" s="28">
        <v>0.25</v>
      </c>
      <c r="J6" s="26" t="s">
        <v>39</v>
      </c>
      <c r="K6" s="47">
        <v>2.5</v>
      </c>
      <c r="L6" s="47"/>
      <c r="M6" s="27">
        <v>3.8</v>
      </c>
      <c r="N6">
        <f t="shared" ref="N6:N19" si="1">N3</f>
        <v>2</v>
      </c>
    </row>
    <row r="7" spans="1:14" ht="31" customHeight="1" x14ac:dyDescent="0.2">
      <c r="A7" s="45" t="str">
        <f t="shared" si="0"/>
        <v>2N-0.25h-3</v>
      </c>
      <c r="B7" s="45"/>
      <c r="C7" s="45"/>
      <c r="D7" s="45"/>
      <c r="E7" s="45"/>
      <c r="F7" s="45"/>
      <c r="G7" s="45"/>
      <c r="H7" s="45"/>
      <c r="I7" s="28">
        <v>0.25</v>
      </c>
      <c r="J7" s="26" t="s">
        <v>39</v>
      </c>
      <c r="K7" s="47">
        <v>2.7</v>
      </c>
      <c r="L7" s="47"/>
      <c r="M7" s="27">
        <v>4.4000000000000004</v>
      </c>
      <c r="N7">
        <f t="shared" si="1"/>
        <v>3</v>
      </c>
    </row>
    <row r="8" spans="1:14" ht="31" customHeight="1" x14ac:dyDescent="0.2">
      <c r="A8" s="45" t="str">
        <f t="shared" si="0"/>
        <v>2N-0.5h-1</v>
      </c>
      <c r="B8" s="45"/>
      <c r="C8" s="45"/>
      <c r="D8" s="45"/>
      <c r="E8" s="45"/>
      <c r="F8" s="45"/>
      <c r="G8" s="45"/>
      <c r="H8" s="45"/>
      <c r="I8" s="27">
        <v>0.5</v>
      </c>
      <c r="J8" s="26" t="s">
        <v>39</v>
      </c>
      <c r="K8" s="47">
        <v>3.8</v>
      </c>
      <c r="L8" s="47"/>
      <c r="M8" s="27">
        <v>4.0999999999999996</v>
      </c>
      <c r="N8">
        <f t="shared" si="1"/>
        <v>1</v>
      </c>
    </row>
    <row r="9" spans="1:14" ht="31" customHeight="1" x14ac:dyDescent="0.2">
      <c r="A9" s="45" t="str">
        <f t="shared" si="0"/>
        <v>2N-0.5h-2</v>
      </c>
      <c r="B9" s="45"/>
      <c r="C9" s="45"/>
      <c r="D9" s="45"/>
      <c r="E9" s="45"/>
      <c r="F9" s="45"/>
      <c r="G9" s="45"/>
      <c r="H9" s="45"/>
      <c r="I9" s="29">
        <v>0.5</v>
      </c>
      <c r="J9" s="30" t="s">
        <v>39</v>
      </c>
      <c r="K9" s="49">
        <v>2</v>
      </c>
      <c r="L9" s="49"/>
      <c r="M9" s="30" t="s">
        <v>41</v>
      </c>
      <c r="N9">
        <f t="shared" si="1"/>
        <v>2</v>
      </c>
    </row>
    <row r="10" spans="1:14" ht="31" customHeight="1" x14ac:dyDescent="0.2">
      <c r="A10" s="45" t="str">
        <f t="shared" si="0"/>
        <v>2N-0.5h-3</v>
      </c>
      <c r="B10" s="45"/>
      <c r="C10" s="45"/>
      <c r="D10" s="45"/>
      <c r="E10" s="45"/>
      <c r="F10" s="45"/>
      <c r="G10" s="45"/>
      <c r="H10" s="45"/>
      <c r="I10" s="31">
        <v>0.5</v>
      </c>
      <c r="J10" s="32" t="s">
        <v>39</v>
      </c>
      <c r="K10" s="48">
        <v>3.5</v>
      </c>
      <c r="L10" s="48"/>
      <c r="M10" s="31">
        <v>3.6</v>
      </c>
      <c r="N10">
        <f t="shared" si="1"/>
        <v>3</v>
      </c>
    </row>
    <row r="11" spans="1:14" ht="31" customHeight="1" x14ac:dyDescent="0.2">
      <c r="A11" s="45" t="str">
        <f t="shared" si="0"/>
        <v>2N-1h-1</v>
      </c>
      <c r="B11" s="45"/>
      <c r="C11" s="45"/>
      <c r="D11" s="45"/>
      <c r="E11" s="45"/>
      <c r="F11" s="45"/>
      <c r="G11" s="45"/>
      <c r="H11" s="45"/>
      <c r="I11" s="25">
        <v>1</v>
      </c>
      <c r="J11" s="26" t="s">
        <v>39</v>
      </c>
      <c r="K11" s="47">
        <v>2.5</v>
      </c>
      <c r="L11" s="47"/>
      <c r="M11" s="27">
        <v>3.6</v>
      </c>
      <c r="N11">
        <f t="shared" si="1"/>
        <v>1</v>
      </c>
    </row>
    <row r="12" spans="1:14" ht="31" customHeight="1" x14ac:dyDescent="0.2">
      <c r="A12" s="45" t="str">
        <f t="shared" si="0"/>
        <v>2N-1h-2</v>
      </c>
      <c r="B12" s="45"/>
      <c r="C12" s="45"/>
      <c r="D12" s="45"/>
      <c r="E12" s="45"/>
      <c r="F12" s="45"/>
      <c r="G12" s="45"/>
      <c r="H12" s="45"/>
      <c r="I12" s="25">
        <v>1</v>
      </c>
      <c r="J12" s="26" t="s">
        <v>39</v>
      </c>
      <c r="K12" s="47">
        <v>2.9</v>
      </c>
      <c r="L12" s="47"/>
      <c r="M12" s="27">
        <v>4.2</v>
      </c>
      <c r="N12">
        <f t="shared" si="1"/>
        <v>2</v>
      </c>
    </row>
    <row r="13" spans="1:14" ht="31" customHeight="1" x14ac:dyDescent="0.2">
      <c r="A13" s="45" t="str">
        <f t="shared" si="0"/>
        <v>2N-1h-3</v>
      </c>
      <c r="B13" s="45"/>
      <c r="C13" s="45"/>
      <c r="D13" s="45"/>
      <c r="E13" s="45"/>
      <c r="F13" s="45"/>
      <c r="G13" s="45"/>
      <c r="H13" s="45"/>
      <c r="I13" s="25">
        <v>1</v>
      </c>
      <c r="J13" s="26" t="s">
        <v>39</v>
      </c>
      <c r="K13" s="47">
        <v>2.8</v>
      </c>
      <c r="L13" s="47"/>
      <c r="M13" s="27">
        <v>3.6</v>
      </c>
      <c r="N13">
        <f t="shared" si="1"/>
        <v>3</v>
      </c>
    </row>
    <row r="14" spans="1:14" ht="31" customHeight="1" x14ac:dyDescent="0.2">
      <c r="A14" s="45" t="str">
        <f t="shared" si="0"/>
        <v>2N-2h-1</v>
      </c>
      <c r="B14" s="45"/>
      <c r="C14" s="45"/>
      <c r="D14" s="45"/>
      <c r="E14" s="45"/>
      <c r="F14" s="45"/>
      <c r="G14" s="45"/>
      <c r="H14" s="45"/>
      <c r="I14" s="25">
        <v>2</v>
      </c>
      <c r="J14" s="26" t="s">
        <v>39</v>
      </c>
      <c r="K14" s="47">
        <v>2.1</v>
      </c>
      <c r="L14" s="47"/>
      <c r="M14" s="27">
        <v>3.9</v>
      </c>
      <c r="N14">
        <f t="shared" si="1"/>
        <v>1</v>
      </c>
    </row>
    <row r="15" spans="1:14" ht="31" customHeight="1" x14ac:dyDescent="0.2">
      <c r="A15" s="45" t="str">
        <f t="shared" si="0"/>
        <v>2N-2h-2</v>
      </c>
      <c r="B15" s="45"/>
      <c r="C15" s="45"/>
      <c r="D15" s="45"/>
      <c r="E15" s="45"/>
      <c r="F15" s="45"/>
      <c r="G15" s="45"/>
      <c r="H15" s="45"/>
      <c r="I15" s="25">
        <v>2</v>
      </c>
      <c r="J15" s="26" t="s">
        <v>39</v>
      </c>
      <c r="K15" s="47">
        <v>2.6</v>
      </c>
      <c r="L15" s="47"/>
      <c r="M15" s="27">
        <v>5.3</v>
      </c>
      <c r="N15">
        <f t="shared" si="1"/>
        <v>2</v>
      </c>
    </row>
    <row r="16" spans="1:14" ht="31" customHeight="1" x14ac:dyDescent="0.2">
      <c r="A16" s="45" t="str">
        <f t="shared" si="0"/>
        <v>2N-2h-3</v>
      </c>
      <c r="B16" s="45"/>
      <c r="C16" s="45"/>
      <c r="D16" s="45"/>
      <c r="E16" s="45"/>
      <c r="F16" s="45"/>
      <c r="G16" s="45"/>
      <c r="H16" s="45"/>
      <c r="I16" s="25">
        <v>2</v>
      </c>
      <c r="J16" s="26" t="s">
        <v>39</v>
      </c>
      <c r="K16" s="47">
        <v>2.6</v>
      </c>
      <c r="L16" s="47"/>
      <c r="M16" s="27">
        <v>4.9000000000000004</v>
      </c>
      <c r="N16">
        <f t="shared" si="1"/>
        <v>3</v>
      </c>
    </row>
    <row r="17" spans="1:14" ht="31" customHeight="1" x14ac:dyDescent="0.2">
      <c r="A17" s="45" t="str">
        <f t="shared" si="0"/>
        <v>2N-24h-1</v>
      </c>
      <c r="B17" s="45"/>
      <c r="C17" s="45"/>
      <c r="D17" s="45"/>
      <c r="E17" s="45"/>
      <c r="F17" s="45"/>
      <c r="G17" s="45"/>
      <c r="H17" s="45"/>
      <c r="I17" s="33">
        <v>24</v>
      </c>
      <c r="J17" s="26" t="s">
        <v>41</v>
      </c>
      <c r="K17" s="47">
        <v>2.4</v>
      </c>
      <c r="L17" s="47"/>
      <c r="M17" s="27">
        <v>7.5</v>
      </c>
      <c r="N17">
        <f t="shared" si="1"/>
        <v>1</v>
      </c>
    </row>
    <row r="18" spans="1:14" ht="31" customHeight="1" x14ac:dyDescent="0.2">
      <c r="A18" s="45" t="str">
        <f t="shared" si="0"/>
        <v>2N-24h-2</v>
      </c>
      <c r="B18" s="45"/>
      <c r="C18" s="45"/>
      <c r="D18" s="45"/>
      <c r="E18" s="45"/>
      <c r="F18" s="45"/>
      <c r="G18" s="45"/>
      <c r="H18" s="45"/>
      <c r="I18" s="33">
        <v>24</v>
      </c>
      <c r="J18" s="26" t="s">
        <v>41</v>
      </c>
      <c r="K18" s="47">
        <v>2.6</v>
      </c>
      <c r="L18" s="47"/>
      <c r="M18" s="27">
        <v>7.1</v>
      </c>
      <c r="N18">
        <f t="shared" si="1"/>
        <v>2</v>
      </c>
    </row>
    <row r="19" spans="1:14" ht="31" customHeight="1" x14ac:dyDescent="0.2">
      <c r="A19" s="45" t="str">
        <f t="shared" si="0"/>
        <v>2N-24h-3</v>
      </c>
      <c r="B19" s="45"/>
      <c r="C19" s="45"/>
      <c r="D19" s="45"/>
      <c r="E19" s="45"/>
      <c r="F19" s="45"/>
      <c r="G19" s="45"/>
      <c r="H19" s="45"/>
      <c r="I19" s="34">
        <v>24</v>
      </c>
      <c r="J19" s="35" t="s">
        <v>41</v>
      </c>
      <c r="K19" s="46">
        <v>2.7</v>
      </c>
      <c r="L19" s="46"/>
      <c r="M19" s="36">
        <v>7.3</v>
      </c>
      <c r="N19">
        <f t="shared" si="1"/>
        <v>3</v>
      </c>
    </row>
  </sheetData>
  <mergeCells count="38">
    <mergeCell ref="A1:H1"/>
    <mergeCell ref="K1:L1"/>
    <mergeCell ref="A2:H2"/>
    <mergeCell ref="K2:L2"/>
    <mergeCell ref="A3:H3"/>
    <mergeCell ref="K3:L3"/>
    <mergeCell ref="A4:H4"/>
    <mergeCell ref="K4:L4"/>
    <mergeCell ref="A5:H5"/>
    <mergeCell ref="K5:L5"/>
    <mergeCell ref="A6:H6"/>
    <mergeCell ref="K6:L6"/>
    <mergeCell ref="A7:H7"/>
    <mergeCell ref="K7:L7"/>
    <mergeCell ref="A8:H8"/>
    <mergeCell ref="K8:L8"/>
    <mergeCell ref="A9:H9"/>
    <mergeCell ref="K9:L9"/>
    <mergeCell ref="A10:H10"/>
    <mergeCell ref="K10:L10"/>
    <mergeCell ref="A11:H11"/>
    <mergeCell ref="K11:L11"/>
    <mergeCell ref="A12:H12"/>
    <mergeCell ref="K12:L12"/>
    <mergeCell ref="A13:H13"/>
    <mergeCell ref="K13:L13"/>
    <mergeCell ref="A14:H14"/>
    <mergeCell ref="K14:L14"/>
    <mergeCell ref="A15:H15"/>
    <mergeCell ref="K15:L15"/>
    <mergeCell ref="A19:H19"/>
    <mergeCell ref="K19:L19"/>
    <mergeCell ref="A16:H16"/>
    <mergeCell ref="K16:L16"/>
    <mergeCell ref="A17:H17"/>
    <mergeCell ref="K17:L17"/>
    <mergeCell ref="A18:H18"/>
    <mergeCell ref="K18:L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03C60-8FC4-C248-97BF-7F6DF3089092}">
  <dimension ref="A1:N19"/>
  <sheetViews>
    <sheetView topLeftCell="H1" workbookViewId="0">
      <selection activeCell="A2" sqref="A2:H19"/>
    </sheetView>
  </sheetViews>
  <sheetFormatPr baseColWidth="10" defaultRowHeight="16" x14ac:dyDescent="0.2"/>
  <cols>
    <col min="1" max="1" width="0" hidden="1" customWidth="1"/>
    <col min="2" max="2" width="2.83203125" hidden="1" customWidth="1"/>
    <col min="3" max="3" width="10.83203125" hidden="1" customWidth="1"/>
    <col min="4" max="7" width="0.1640625" hidden="1" customWidth="1"/>
    <col min="8" max="8" width="28.83203125" customWidth="1"/>
  </cols>
  <sheetData>
    <row r="1" spans="1:14" ht="52" thickBot="1" x14ac:dyDescent="0.25">
      <c r="A1" s="51" t="s">
        <v>18</v>
      </c>
      <c r="B1" s="51"/>
      <c r="C1" s="51"/>
      <c r="D1" s="51"/>
      <c r="E1" s="51"/>
      <c r="F1" s="51"/>
      <c r="G1" s="51"/>
      <c r="H1" s="51"/>
      <c r="I1" s="44" t="s">
        <v>44</v>
      </c>
      <c r="J1" s="11" t="s">
        <v>19</v>
      </c>
      <c r="K1" s="44" t="s">
        <v>20</v>
      </c>
      <c r="L1" s="61" t="s">
        <v>21</v>
      </c>
      <c r="M1" s="61"/>
      <c r="N1" s="10" t="s">
        <v>45</v>
      </c>
    </row>
    <row r="2" spans="1:14" ht="31" x14ac:dyDescent="0.2">
      <c r="A2" s="54" t="str">
        <f>_xlfn.CONCAT("4N-",I2,"h-",N2)</f>
        <v>4N-0h-1</v>
      </c>
      <c r="B2" s="54"/>
      <c r="C2" s="54"/>
      <c r="D2" s="54"/>
      <c r="E2" s="54"/>
      <c r="F2" s="54"/>
      <c r="G2" s="54"/>
      <c r="H2" s="54"/>
      <c r="I2">
        <v>0</v>
      </c>
      <c r="J2" s="37" t="s">
        <v>42</v>
      </c>
      <c r="K2" s="38" t="s">
        <v>43</v>
      </c>
      <c r="L2" s="55">
        <v>4.4000000000000004</v>
      </c>
      <c r="M2" s="55"/>
      <c r="N2">
        <v>1</v>
      </c>
    </row>
    <row r="3" spans="1:14" ht="31" customHeight="1" x14ac:dyDescent="0.2">
      <c r="A3" s="54" t="str">
        <f t="shared" ref="A3:A19" si="0">_xlfn.CONCAT("4N-",I3,"h-",N3)</f>
        <v>4N-0h-2</v>
      </c>
      <c r="B3" s="54"/>
      <c r="C3" s="54"/>
      <c r="D3" s="54"/>
      <c r="E3" s="54"/>
      <c r="F3" s="54"/>
      <c r="G3" s="54"/>
      <c r="H3" s="54"/>
      <c r="I3">
        <v>0</v>
      </c>
      <c r="J3" s="37" t="s">
        <v>42</v>
      </c>
      <c r="K3" s="38" t="s">
        <v>43</v>
      </c>
      <c r="L3" s="55">
        <v>4.9000000000000004</v>
      </c>
      <c r="M3" s="55"/>
      <c r="N3">
        <v>2</v>
      </c>
    </row>
    <row r="4" spans="1:14" ht="31" customHeight="1" x14ac:dyDescent="0.2">
      <c r="A4" s="54" t="str">
        <f t="shared" si="0"/>
        <v>4N-0h-3</v>
      </c>
      <c r="B4" s="54"/>
      <c r="C4" s="54"/>
      <c r="D4" s="54"/>
      <c r="E4" s="54"/>
      <c r="F4" s="54"/>
      <c r="G4" s="54"/>
      <c r="H4" s="54"/>
      <c r="I4">
        <v>0</v>
      </c>
      <c r="J4" s="37" t="s">
        <v>42</v>
      </c>
      <c r="K4" s="38" t="s">
        <v>43</v>
      </c>
      <c r="L4" s="55">
        <v>4.8</v>
      </c>
      <c r="M4" s="55"/>
      <c r="N4">
        <v>3</v>
      </c>
    </row>
    <row r="5" spans="1:14" ht="31" customHeight="1" x14ac:dyDescent="0.2">
      <c r="A5" s="54" t="str">
        <f t="shared" si="0"/>
        <v>4N-0.25h-1</v>
      </c>
      <c r="B5" s="54"/>
      <c r="C5" s="54"/>
      <c r="D5" s="54"/>
      <c r="E5" s="54"/>
      <c r="F5" s="54"/>
      <c r="G5" s="54"/>
      <c r="H5" s="54"/>
      <c r="I5">
        <v>0.25</v>
      </c>
      <c r="J5" s="37" t="s">
        <v>42</v>
      </c>
      <c r="K5" s="39">
        <v>2.4</v>
      </c>
      <c r="L5" s="55">
        <v>4.2</v>
      </c>
      <c r="M5" s="58"/>
      <c r="N5">
        <f>N2</f>
        <v>1</v>
      </c>
    </row>
    <row r="6" spans="1:14" ht="31" customHeight="1" x14ac:dyDescent="0.2">
      <c r="A6" s="54" t="str">
        <f t="shared" si="0"/>
        <v>4N-0.25h-2</v>
      </c>
      <c r="B6" s="54"/>
      <c r="C6" s="54"/>
      <c r="D6" s="54"/>
      <c r="E6" s="54"/>
      <c r="F6" s="54"/>
      <c r="G6" s="54"/>
      <c r="H6" s="54"/>
      <c r="I6">
        <v>0.25</v>
      </c>
      <c r="J6" s="37" t="s">
        <v>42</v>
      </c>
      <c r="K6" s="39">
        <v>2.1</v>
      </c>
      <c r="L6" s="55">
        <v>4.7</v>
      </c>
      <c r="M6" s="58"/>
      <c r="N6">
        <f t="shared" ref="N6:N19" si="1">N3</f>
        <v>2</v>
      </c>
    </row>
    <row r="7" spans="1:14" ht="31" customHeight="1" x14ac:dyDescent="0.2">
      <c r="A7" s="54" t="str">
        <f t="shared" si="0"/>
        <v>4N-0.25h-3</v>
      </c>
      <c r="B7" s="54"/>
      <c r="C7" s="54"/>
      <c r="D7" s="54"/>
      <c r="E7" s="54"/>
      <c r="F7" s="54"/>
      <c r="G7" s="54"/>
      <c r="H7" s="54"/>
      <c r="I7">
        <v>0.25</v>
      </c>
      <c r="J7" s="37" t="s">
        <v>42</v>
      </c>
      <c r="K7" s="39">
        <v>2.1</v>
      </c>
      <c r="L7" s="55">
        <v>4.5999999999999996</v>
      </c>
      <c r="M7" s="58"/>
      <c r="N7">
        <f t="shared" si="1"/>
        <v>3</v>
      </c>
    </row>
    <row r="8" spans="1:14" ht="31" customHeight="1" x14ac:dyDescent="0.2">
      <c r="A8" s="54" t="str">
        <f t="shared" si="0"/>
        <v>4N-0.5h-1</v>
      </c>
      <c r="B8" s="54"/>
      <c r="C8" s="54"/>
      <c r="D8" s="54"/>
      <c r="E8" s="54"/>
      <c r="F8" s="54"/>
      <c r="G8" s="54"/>
      <c r="H8" s="54"/>
      <c r="I8">
        <v>0.5</v>
      </c>
      <c r="J8" s="37" t="s">
        <v>42</v>
      </c>
      <c r="K8" s="39">
        <v>3.2</v>
      </c>
      <c r="L8" s="55">
        <v>4.2</v>
      </c>
      <c r="M8" s="55"/>
      <c r="N8">
        <f t="shared" si="1"/>
        <v>1</v>
      </c>
    </row>
    <row r="9" spans="1:14" ht="31" customHeight="1" x14ac:dyDescent="0.2">
      <c r="A9" s="54" t="str">
        <f t="shared" si="0"/>
        <v>4N-0.5h-2</v>
      </c>
      <c r="B9" s="54"/>
      <c r="C9" s="54"/>
      <c r="D9" s="54"/>
      <c r="E9" s="54"/>
      <c r="F9" s="54"/>
      <c r="G9" s="54"/>
      <c r="H9" s="54"/>
      <c r="I9">
        <v>0.5</v>
      </c>
      <c r="J9" s="41" t="s">
        <v>42</v>
      </c>
      <c r="K9" s="40">
        <v>3.5</v>
      </c>
      <c r="L9" s="60">
        <v>5</v>
      </c>
      <c r="M9" s="60"/>
      <c r="N9">
        <f t="shared" si="1"/>
        <v>2</v>
      </c>
    </row>
    <row r="10" spans="1:14" ht="31" customHeight="1" x14ac:dyDescent="0.2">
      <c r="A10" s="54" t="str">
        <f t="shared" si="0"/>
        <v>4N-0.5h-3</v>
      </c>
      <c r="B10" s="54"/>
      <c r="C10" s="54"/>
      <c r="D10" s="54"/>
      <c r="E10" s="54"/>
      <c r="F10" s="54"/>
      <c r="G10" s="54"/>
      <c r="H10" s="54"/>
      <c r="I10">
        <v>0.5</v>
      </c>
      <c r="J10" s="43" t="s">
        <v>42</v>
      </c>
      <c r="K10" s="42">
        <v>3.4</v>
      </c>
      <c r="L10" s="59">
        <v>4.7</v>
      </c>
      <c r="M10" s="59"/>
      <c r="N10">
        <f t="shared" si="1"/>
        <v>3</v>
      </c>
    </row>
    <row r="11" spans="1:14" ht="31" customHeight="1" x14ac:dyDescent="0.2">
      <c r="A11" s="54" t="str">
        <f t="shared" si="0"/>
        <v>4N-1h-1</v>
      </c>
      <c r="B11" s="54"/>
      <c r="C11" s="54"/>
      <c r="D11" s="54"/>
      <c r="E11" s="54"/>
      <c r="F11" s="54"/>
      <c r="G11" s="54"/>
      <c r="H11" s="54"/>
      <c r="I11">
        <v>1</v>
      </c>
      <c r="J11" s="37" t="s">
        <v>42</v>
      </c>
      <c r="K11" s="39">
        <v>2.4</v>
      </c>
      <c r="L11" s="55">
        <v>4.9000000000000004</v>
      </c>
      <c r="M11" s="58"/>
      <c r="N11">
        <f t="shared" si="1"/>
        <v>1</v>
      </c>
    </row>
    <row r="12" spans="1:14" ht="31" customHeight="1" x14ac:dyDescent="0.2">
      <c r="A12" s="54" t="str">
        <f t="shared" si="0"/>
        <v>4N-1h-2</v>
      </c>
      <c r="B12" s="54"/>
      <c r="C12" s="54"/>
      <c r="D12" s="54"/>
      <c r="E12" s="54"/>
      <c r="F12" s="54"/>
      <c r="G12" s="54"/>
      <c r="H12" s="54"/>
      <c r="I12">
        <v>1</v>
      </c>
      <c r="J12" s="37" t="s">
        <v>42</v>
      </c>
      <c r="K12" s="39">
        <v>2.2000000000000002</v>
      </c>
      <c r="L12" s="55">
        <v>4.0999999999999996</v>
      </c>
      <c r="M12" s="58"/>
      <c r="N12">
        <f t="shared" si="1"/>
        <v>2</v>
      </c>
    </row>
    <row r="13" spans="1:14" ht="31" customHeight="1" x14ac:dyDescent="0.2">
      <c r="A13" s="54" t="str">
        <f t="shared" si="0"/>
        <v>4N-1h-3</v>
      </c>
      <c r="B13" s="54"/>
      <c r="C13" s="54"/>
      <c r="D13" s="54"/>
      <c r="E13" s="54"/>
      <c r="F13" s="54"/>
      <c r="G13" s="54"/>
      <c r="H13" s="54"/>
      <c r="I13">
        <v>1</v>
      </c>
      <c r="J13" s="37" t="s">
        <v>42</v>
      </c>
      <c r="K13" s="39">
        <v>2.4</v>
      </c>
      <c r="L13" s="55">
        <v>4.4000000000000004</v>
      </c>
      <c r="M13" s="58"/>
      <c r="N13">
        <f t="shared" si="1"/>
        <v>3</v>
      </c>
    </row>
    <row r="14" spans="1:14" ht="31" customHeight="1" x14ac:dyDescent="0.2">
      <c r="A14" s="54" t="str">
        <f t="shared" si="0"/>
        <v>4N-2h-1</v>
      </c>
      <c r="B14" s="54"/>
      <c r="C14" s="54"/>
      <c r="D14" s="54"/>
      <c r="E14" s="54"/>
      <c r="F14" s="54"/>
      <c r="G14" s="54"/>
      <c r="H14" s="54"/>
      <c r="I14">
        <v>2</v>
      </c>
      <c r="J14" s="37" t="s">
        <v>42</v>
      </c>
      <c r="K14" s="39">
        <v>2</v>
      </c>
      <c r="L14" s="55">
        <v>5.7</v>
      </c>
      <c r="M14" s="55"/>
      <c r="N14">
        <f t="shared" si="1"/>
        <v>1</v>
      </c>
    </row>
    <row r="15" spans="1:14" ht="31" customHeight="1" x14ac:dyDescent="0.2">
      <c r="A15" s="54" t="str">
        <f t="shared" si="0"/>
        <v>4N-2h-2</v>
      </c>
      <c r="B15" s="54"/>
      <c r="C15" s="54"/>
      <c r="D15" s="54"/>
      <c r="E15" s="54"/>
      <c r="F15" s="54"/>
      <c r="G15" s="54"/>
      <c r="H15" s="54"/>
      <c r="I15">
        <v>2</v>
      </c>
      <c r="J15" s="37" t="s">
        <v>42</v>
      </c>
      <c r="K15" s="39">
        <v>2.2999999999999998</v>
      </c>
      <c r="L15" s="55">
        <v>6.6</v>
      </c>
      <c r="M15" s="55"/>
      <c r="N15">
        <f t="shared" si="1"/>
        <v>2</v>
      </c>
    </row>
    <row r="16" spans="1:14" ht="31" customHeight="1" x14ac:dyDescent="0.2">
      <c r="A16" s="54" t="str">
        <f t="shared" si="0"/>
        <v>4N-2h-3</v>
      </c>
      <c r="B16" s="54"/>
      <c r="C16" s="54"/>
      <c r="D16" s="54"/>
      <c r="E16" s="54"/>
      <c r="F16" s="54"/>
      <c r="G16" s="54"/>
      <c r="H16" s="54"/>
      <c r="I16">
        <v>2</v>
      </c>
      <c r="J16" s="37" t="s">
        <v>42</v>
      </c>
      <c r="K16" s="39">
        <v>2.6</v>
      </c>
      <c r="L16" s="55">
        <v>6.7</v>
      </c>
      <c r="M16" s="55"/>
      <c r="N16">
        <f t="shared" si="1"/>
        <v>3</v>
      </c>
    </row>
    <row r="17" spans="1:14" ht="28" customHeight="1" x14ac:dyDescent="0.2">
      <c r="A17" s="54" t="str">
        <f t="shared" si="0"/>
        <v>4N-24h-1</v>
      </c>
      <c r="B17" s="54"/>
      <c r="C17" s="54"/>
      <c r="D17" s="54"/>
      <c r="E17" s="54"/>
      <c r="F17" s="54"/>
      <c r="G17" s="54"/>
      <c r="H17" s="54"/>
      <c r="I17">
        <v>24</v>
      </c>
      <c r="J17" s="39">
        <v>2.4</v>
      </c>
      <c r="K17" s="39">
        <v>2.8</v>
      </c>
      <c r="L17" s="56">
        <v>13.7</v>
      </c>
      <c r="M17" s="57"/>
      <c r="N17">
        <f t="shared" si="1"/>
        <v>1</v>
      </c>
    </row>
    <row r="18" spans="1:14" ht="28" customHeight="1" x14ac:dyDescent="0.2">
      <c r="A18" s="54" t="str">
        <f t="shared" si="0"/>
        <v>4N-24h-2</v>
      </c>
      <c r="B18" s="54"/>
      <c r="C18" s="54"/>
      <c r="D18" s="54"/>
      <c r="E18" s="54"/>
      <c r="F18" s="54"/>
      <c r="G18" s="54"/>
      <c r="H18" s="54"/>
      <c r="I18">
        <v>24</v>
      </c>
      <c r="J18" s="39">
        <v>2.1</v>
      </c>
      <c r="K18" s="39">
        <v>2.9</v>
      </c>
      <c r="L18" s="56">
        <v>15.1</v>
      </c>
      <c r="M18" s="57"/>
      <c r="N18">
        <f t="shared" si="1"/>
        <v>2</v>
      </c>
    </row>
    <row r="19" spans="1:14" ht="28" customHeight="1" x14ac:dyDescent="0.2">
      <c r="A19" s="54" t="str">
        <f t="shared" si="0"/>
        <v>4N-24h-3</v>
      </c>
      <c r="B19" s="54"/>
      <c r="C19" s="54"/>
      <c r="D19" s="54"/>
      <c r="E19" s="54"/>
      <c r="F19" s="54"/>
      <c r="G19" s="54"/>
      <c r="H19" s="54"/>
      <c r="I19">
        <v>24</v>
      </c>
      <c r="J19" s="39">
        <v>2.7</v>
      </c>
      <c r="K19" s="39">
        <v>3</v>
      </c>
      <c r="L19" s="56">
        <v>13.7</v>
      </c>
      <c r="M19" s="57"/>
      <c r="N19">
        <f t="shared" si="1"/>
        <v>3</v>
      </c>
    </row>
  </sheetData>
  <mergeCells count="38">
    <mergeCell ref="A1:H1"/>
    <mergeCell ref="L1:M1"/>
    <mergeCell ref="A2:H2"/>
    <mergeCell ref="L2:M2"/>
    <mergeCell ref="A3:H3"/>
    <mergeCell ref="L3:M3"/>
    <mergeCell ref="A4:H4"/>
    <mergeCell ref="L4:M4"/>
    <mergeCell ref="A5:H5"/>
    <mergeCell ref="L5:M5"/>
    <mergeCell ref="A6:H6"/>
    <mergeCell ref="L6:M6"/>
    <mergeCell ref="A7:H7"/>
    <mergeCell ref="L7:M7"/>
    <mergeCell ref="A8:H8"/>
    <mergeCell ref="L8:M8"/>
    <mergeCell ref="A9:H9"/>
    <mergeCell ref="L9:M9"/>
    <mergeCell ref="A10:H10"/>
    <mergeCell ref="L10:M10"/>
    <mergeCell ref="A11:H11"/>
    <mergeCell ref="L11:M11"/>
    <mergeCell ref="A12:H12"/>
    <mergeCell ref="L12:M12"/>
    <mergeCell ref="A13:H13"/>
    <mergeCell ref="L13:M13"/>
    <mergeCell ref="A14:H14"/>
    <mergeCell ref="L14:M14"/>
    <mergeCell ref="A15:H15"/>
    <mergeCell ref="L15:M15"/>
    <mergeCell ref="A16:H16"/>
    <mergeCell ref="L16:M16"/>
    <mergeCell ref="A19:H19"/>
    <mergeCell ref="L19:M19"/>
    <mergeCell ref="A17:H17"/>
    <mergeCell ref="L17:M17"/>
    <mergeCell ref="A18:H18"/>
    <mergeCell ref="L18:M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4N</vt:lpstr>
      <vt:lpstr>2N</vt:lpstr>
      <vt:lpstr>2N_lowInitialGemcitabine</vt:lpstr>
      <vt:lpstr>4N_lowInitialGemcitabine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Andor, Noemi</dc:creator>
  <cp:lastModifiedBy>Andor, Noemi</cp:lastModifiedBy>
  <dcterms:created xsi:type="dcterms:W3CDTF">2024-04-09T11:12:41Z</dcterms:created>
  <dcterms:modified xsi:type="dcterms:W3CDTF">2024-04-11T16:31:40Z</dcterms:modified>
</cp:coreProperties>
</file>